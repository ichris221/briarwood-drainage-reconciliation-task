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477f66f47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_Control" sheetId="1" r:id="Rd5558c46d2f343e3"/>
    <x:sheet xmlns:r="http://schemas.openxmlformats.org/officeDocument/2006/relationships" name="Raw_Survey" sheetId="2" r:id="R1ac770e376fd4296"/>
    <x:sheet xmlns:r="http://schemas.openxmlformats.org/officeDocument/2006/relationships" name="Approved_Correction" sheetId="3" r:id="R542292739b084961"/>
    <x:sheet xmlns:r="http://schemas.openxmlformats.org/officeDocument/2006/relationships" name="Catchment_Areas" sheetId="4" r:id="R4adc39e45c474242"/>
    <x:sheet xmlns:r="http://schemas.openxmlformats.org/officeDocument/2006/relationships" name="Survey_QA_Log" sheetId="5" r:id="Rb8125dcf3aa9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f1c1977184b6d" /><Relationship Type="http://schemas.openxmlformats.org/officeDocument/2006/relationships/theme" Target="/xl/theme/theme1.xml" Id="R7639df52884047de" /><Relationship Type="http://schemas.openxmlformats.org/officeDocument/2006/relationships/sharedStrings" Target="/xl/sharedStrings.xml" Id="R32cd9f2773a14818" /><Relationship Type="http://schemas.openxmlformats.org/officeDocument/2006/relationships/worksheet" Target="/xl/worksheets/sheet1.xml" Id="Rd5558c46d2f343e3" /><Relationship Type="http://schemas.openxmlformats.org/officeDocument/2006/relationships/worksheet" Target="/xl/worksheets/sheet2.xml" Id="R1ac770e376fd4296" /><Relationship Type="http://schemas.openxmlformats.org/officeDocument/2006/relationships/worksheet" Target="/xl/worksheets/sheet3.xml" Id="R542292739b084961" /><Relationship Type="http://schemas.openxmlformats.org/officeDocument/2006/relationships/worksheet" Target="/xl/worksheets/sheet4.xml" Id="R4adc39e45c474242" /><Relationship Type="http://schemas.openxmlformats.org/officeDocument/2006/relationships/worksheet" Target="/xl/worksheets/sheet5.xml" Id="Rb8125dcf3aa94397" /></Relationships>
</file>

<file path=xl/tables/table1.xml><?xml version="1.0" encoding="utf-8"?>
<x:table xmlns:x="http://schemas.openxmlformats.org/spreadsheetml/2006/main" id="1" name="RawSurveyTable" displayName="RawSurveyTable" ref="A1:M7" headerRowCount="1">
  <x:tableColumns count="13">
    <x:tableColumn id="1" name="Structure_ID"/>
    <x:tableColumn id="2" name="Type"/>
    <x:tableColumn id="3" name="Station_m"/>
    <x:tableColumn id="4" name="Easting_m"/>
    <x:tableColumn id="5" name="Northing_m"/>
    <x:tableColumn id="6" name="Raw_Rim_m"/>
    <x:tableColumn id="7" name="Raw_Invert_In_m"/>
    <x:tableColumn id="8" name="Raw_Invert_Out_m"/>
    <x:tableColumn id="9" name="Raw_Sump_m"/>
    <x:tableColumn id="10" name="Survey_Note"/>
    <x:tableColumn id="11" name="Corrected_Rim_m"/>
    <x:tableColumn id="12" name="Corrected_Invert_In_m"/>
    <x:tableColumn id="13" name="Corrected_Invert_Out_m"/>
  </x:tableColumns>
  <x:tableStyleInfo name="TableStyleMedium2" showRowStripes="1"/>
</x:table>
</file>

<file path=xl/tables/table2.xml><?xml version="1.0" encoding="utf-8"?>
<x:table xmlns:x="http://schemas.openxmlformats.org/spreadsheetml/2006/main" id="2" name="SurveyCorrectionTable" displayName="SurveyCorrectionTable" ref="A1:G5" headerRowCount="1">
  <x:tableColumns count="7">
    <x:tableColumn id="1" name="Record_ID"/>
    <x:tableColumn id="2" name="Record_Type"/>
    <x:tableColumn id="3" name="Applies_To"/>
    <x:tableColumn id="4" name="Correction_m"/>
    <x:tableColumn id="5" name="Status"/>
    <x:tableColumn id="6" name="Reason"/>
    <x:tableColumn id="7" name="Use_in_Final_Model"/>
  </x:tableColumns>
  <x:tableStyleInfo name="TableStyleMedium2" showRowStripes="1"/>
</x:table>
</file>

<file path=xl/tables/table3.xml><?xml version="1.0" encoding="utf-8"?>
<x:table xmlns:x="http://schemas.openxmlformats.org/spreadsheetml/2006/main" id="3" name="CatchmentAreaTable" displayName="CatchmentAreaTable" ref="A1:H7" headerRowCount="1">
  <x:tableColumns count="8">
    <x:tableColumn id="1" name="Catchment_ID"/>
    <x:tableColumn id="2" name="Description"/>
    <x:tableColumn id="3" name="Area_ha"/>
    <x:tableColumn id="4" name="Surface"/>
    <x:tableColumn id="5" name="Runoff_Coefficient"/>
    <x:tableColumn id="6" name="Inlet_or_Node"/>
    <x:tableColumn id="7" name="Status"/>
    <x:tableColumn id="8" name="Reasoning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29cb53c2854b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ff2fd2763e4b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4e2509d69245a1" /></Relationships>
</file>

<file path=xl/worksheets/sheet1.xml><?xml version="1.0" encoding="utf-8"?>
<x:worksheet xmlns:x="http://schemas.openxmlformats.org/spreadsheetml/2006/main">
  <x:sheetFormatPr defaultRowHeight="15"/>
  <x:cols>
    <x:col min="1" max="1" width="63.630001068115234" hidden="0" customWidth="1"/>
    <x:col min="2" max="2" width="29.3799991607666" hidden="0" customWidth="1"/>
    <x:col min="3" max="3" width="68.25" hidden="0" customWidth="1"/>
  </x:cols>
  <x:sheetData>
    <x:row r="1">
      <x:c r="A1" s="34" t="str">
        <x:v>Briarwood Avenue Drainage Upgrade - Survey and Invert Register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Field</x:v>
      </x:c>
      <x:c r="B3" s="14" t="str">
        <x:v>Value</x:v>
      </x:c>
      <x:c r="C3" s="14" t="str">
        <x:v>Notes</x:v>
      </x:c>
    </x:row>
    <x:row r="4">
      <x:c r="A4" s="22" t="str">
        <x:v>Document ID</x:v>
      </x:c>
      <x:c r="B4" s="22" t="str">
        <x:v>BA-DGN-SUR-006</x:v>
      </x:c>
      <x:c r="C4" s="22" t="str">
        <x:v>Survey register used for 60% drainage reconciliation</x:v>
      </x:c>
    </x:row>
    <x:row r="5">
      <x:c r="A5" s="22" t="str">
        <x:v>Revision</x:v>
      </x:c>
      <x:c r="B5" s="22" t="str">
        <x:v>C</x:v>
      </x:c>
      <x:c r="C5" s="22" t="str">
        <x:v>Issued for design reconciliation</x:v>
      </x:c>
    </x:row>
    <x:row r="6">
      <x:c r="A6" s="22" t="str">
        <x:v>Status</x:v>
      </x:c>
      <x:c r="B6" s="22" t="str">
        <x:v>Approved for design use</x:v>
      </x:c>
      <x:c r="C6" s="22" t="str">
        <x:v>Supersedes Revision B and field book note SRV-FB-05</x:v>
      </x:c>
    </x:row>
    <x:row r="7">
      <x:c r="A7" s="22" t="str">
        <x:v>Survey date</x:v>
      </x:c>
      <x:c r="B7" s="23" t="n">
        <x:v>46158</x:v>
      </x:c>
      <x:c r="C7" s="22" t="str">
        <x:v>Post-event verification survey</x:v>
      </x:c>
    </x:row>
    <x:row r="8">
      <x:c r="A8" s="22" t="str">
        <x:v>Project datum</x:v>
      </x:c>
      <x:c r="B8" s="22" t="str">
        <x:v>BWD 2026</x:v>
      </x:c>
      <x:c r="C8" s="22" t="str">
        <x:v>Town survey control benchmark BW-CP-14</x:v>
      </x:c>
    </x:row>
    <x:row r="9">
      <x:c r="A9" s="22" t="str">
        <x:v>Coordinate system</x:v>
      </x:c>
      <x:c r="B9" s="22" t="str">
        <x:v>Briarwood local grid</x:v>
      </x:c>
      <x:c r="C9" s="22" t="str">
        <x:v>Coordinates are for civil-design referencing only</x:v>
      </x:c>
    </x:row>
    <x:row r="10">
      <x:c r="A10" s="22" t="str">
        <x:v>Approved datum correction</x:v>
      </x:c>
      <x:c r="B10" s="22" t="str">
        <x:v>+0.42 m</x:v>
      </x:c>
      <x:c r="C10" s="22" t="str">
        <x:v>Add to raw local-level survey elevations to convert to BWD 2026</x:v>
      </x:c>
    </x:row>
    <x:row r="11">
      <x:c r="A11" s="22" t="str">
        <x:v>Rejected correction</x:v>
      </x:c>
      <x:c r="B11" s="22" t="str">
        <x:v>+0.24 m</x:v>
      </x:c>
      <x:c r="C11" s="22" t="str">
        <x:v>Field book note SRV-FB-05 is marked superseded by correction certificate SUR-DAT-2026-05</x:v>
      </x:c>
    </x:row>
    <x:row r="12">
      <x:c r="A12" s="22" t="str">
        <x:v>Governing storm basis</x:v>
      </x:c>
      <x:c r="B12" s="22" t="str">
        <x:v>25-year event, 15-minute duration</x:v>
      </x:c>
      <x:c r="C12" s="22" t="str">
        <x:v>Use external PFDS lookup instruction in the authority hierarchy file</x:v>
      </x:c>
    </x:row>
    <x:row r="13">
      <x:c r="A13" s="22" t="str">
        <x:v>Prepared by</x:v>
      </x:c>
      <x:c r="B13" s="22" t="str">
        <x:v>Briarwood Civil Works - Drainage Team</x:v>
      </x:c>
      <x:c r="C13" s="22" t="str">
        <x:v>Internal project record</x:v>
      </x:c>
    </x:row>
    <x:row r="14">
      <x:c r="A14" s="22" t="str">
        <x:v>Checked by</x:v>
      </x:c>
      <x:c r="B14" s="22" t="str">
        <x:v>M. Keane, PE</x:v>
      </x:c>
      <x:c r="C14" s="22" t="str">
        <x:v>Check initials MK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3.630000114440918" hidden="0" customWidth="1"/>
    <x:col min="3" max="3" width="8.380000114440918" hidden="0" customWidth="1"/>
    <x:col min="4" max="4" width="8.380000114440918" hidden="0" customWidth="1"/>
    <x:col min="5" max="5" width="9.75" hidden="0" customWidth="1"/>
    <x:col min="6" max="6" width="10.130000114440918" hidden="0" customWidth="1"/>
    <x:col min="7" max="7" width="14" hidden="0" customWidth="1"/>
    <x:col min="8" max="8" width="15.5" hidden="0" customWidth="1"/>
    <x:col min="9" max="9" width="11.5" hidden="0" customWidth="1"/>
    <x:col min="10" max="10" width="49.630001068115234" hidden="0" customWidth="1"/>
    <x:col min="11" max="11" width="14.25" hidden="0" customWidth="1"/>
    <x:col min="12" max="12" width="18.25" hidden="0" customWidth="1"/>
    <x:col min="13" max="13" width="19.6299991607666" hidden="0" customWidth="1"/>
  </x:cols>
  <x:sheetData>
    <x:row r="1">
      <x:c r="A1" s="14" t="str">
        <x:v>Structure_ID</x:v>
      </x:c>
      <x:c r="B1" s="14" t="str">
        <x:v>Type</x:v>
      </x:c>
      <x:c r="C1" s="14" t="str">
        <x:v>Station_m</x:v>
      </x:c>
      <x:c r="D1" s="14" t="str">
        <x:v>Easting_m</x:v>
      </x:c>
      <x:c r="E1" s="14" t="str">
        <x:v>Northing_m</x:v>
      </x:c>
      <x:c r="F1" s="14" t="str">
        <x:v>Raw_Rim_m</x:v>
      </x:c>
      <x:c r="G1" s="14" t="str">
        <x:v>Raw_Invert_In_m</x:v>
      </x:c>
      <x:c r="H1" s="14" t="str">
        <x:v>Raw_Invert_Out_m</x:v>
      </x:c>
      <x:c r="I1" s="14" t="str">
        <x:v>Raw_Sump_m</x:v>
      </x:c>
      <x:c r="J1" s="14" t="str">
        <x:v>Survey_Note</x:v>
      </x:c>
      <x:c r="K1" s="14" t="str">
        <x:v>Corrected_Rim_m</x:v>
      </x:c>
      <x:c r="L1" s="14" t="str">
        <x:v>Corrected_Invert_In_m</x:v>
      </x:c>
      <x:c r="M1" s="14" t="str">
        <x:v>Corrected_Invert_Out_m</x:v>
      </x:c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IN-1</x:v>
      </x:c>
      <x:c r="B2" s="22" t="str">
        <x:v>curb inlet</x:v>
      </x:c>
      <x:c r="C2" s="22" t="n">
        <x:v>0</x:v>
      </x:c>
      <x:c r="D2" s="22" t="n">
        <x:v>5012.42</x:v>
      </x:c>
      <x:c r="E2" s="22" t="n">
        <x:v>7201.55</x:v>
      </x:c>
      <x:c r="F2" s="28" t="n">
        <x:v>86.084</x:v>
      </x:c>
      <x:c r="G2" s="28"/>
      <x:c r="H2" s="28" t="n">
        <x:v>85.174</x:v>
      </x:c>
      <x:c r="I2" s="28" t="n">
        <x:v>84.994</x:v>
      </x:c>
      <x:c r="J2" s="28" t="str">
        <x:v>nearest inlet upstream of sag</x:v>
      </x:c>
      <x:c r="K2" s="28" t="n">
        <x:f>IF(F2="","",F2+0.42)</x:f>
        <x:v>86.504</x:v>
      </x:c>
      <x:c r="L2" s="28" t="str">
        <x:f>IF(G2="","",G2+0.42)</x:f>
      </x:c>
      <x:c r="M2" s="28" t="n">
        <x:f>IF(H2="","",H2+0.42)</x:f>
        <x:v>85.59400000000001</x:v>
      </x:c>
    </x:row>
    <x:row r="3">
      <x:c r="A3" s="22" t="str">
        <x:v>MH-2</x:v>
      </x:c>
      <x:c r="B3" s="22" t="str">
        <x:v>manhole</x:v>
      </x:c>
      <x:c r="C3" s="22" t="n">
        <x:v>63.5</x:v>
      </x:c>
      <x:c r="D3" s="22" t="n">
        <x:v>5068.11</x:v>
      </x:c>
      <x:c r="E3" s="22" t="n">
        <x:v>7189.02</x:v>
      </x:c>
      <x:c r="F3" s="28" t="n">
        <x:v>85.732</x:v>
      </x:c>
      <x:c r="G3" s="28" t="n">
        <x:v>84.612</x:v>
      </x:c>
      <x:c r="H3" s="28" t="n">
        <x:v>84.384</x:v>
      </x:c>
      <x:c r="I3" s="28" t="n">
        <x:v>84.174</x:v>
      </x:c>
      <x:c r="J3" s="28" t="str">
        <x:v>rim surveyed from local BM before datum correction</x:v>
      </x:c>
      <x:c r="K3" s="28" t="n">
        <x:f>IF(F3="","",F3+0.42)</x:f>
        <x:v>86.152</x:v>
      </x:c>
      <x:c r="L3" s="28" t="n">
        <x:f>IF(G3="","",G3+0.42)</x:f>
        <x:v>85.032</x:v>
      </x:c>
      <x:c r="M3" s="28" t="n">
        <x:f>IF(H3="","",H3+0.42)</x:f>
        <x:v>84.804</x:v>
      </x:c>
    </x:row>
    <x:row r="4">
      <x:c r="A4" s="22" t="str">
        <x:v>MH-3</x:v>
      </x:c>
      <x:c r="B4" s="22" t="str">
        <x:v>manhole</x:v>
      </x:c>
      <x:c r="C4" s="22" t="n">
        <x:v>141.6</x:v>
      </x:c>
      <x:c r="D4" s="22" t="n">
        <x:v>5145.86</x:v>
      </x:c>
      <x:c r="E4" s="22" t="n">
        <x:v>7174.34</x:v>
      </x:c>
      <x:c r="F4" s="28" t="n">
        <x:v>85.314</x:v>
      </x:c>
      <x:c r="G4" s="28" t="n">
        <x:v>84.056</x:v>
      </x:c>
      <x:c r="H4" s="28" t="n">
        <x:v>84.018</x:v>
      </x:c>
      <x:c r="I4" s="28" t="n">
        <x:v>83.838</x:v>
      </x:c>
      <x:c r="J4" s="28" t="str">
        <x:v>conflicts with GIS asset register; use corrected survey + Rev D plan</x:v>
      </x:c>
      <x:c r="K4" s="28" t="n">
        <x:f>IF(F4="","",F4+0.42)</x:f>
        <x:v>85.734</x:v>
      </x:c>
      <x:c r="L4" s="28" t="n">
        <x:f>IF(G4="","",G4+0.42)</x:f>
        <x:v>84.476</x:v>
      </x:c>
      <x:c r="M4" s="28" t="n">
        <x:f>IF(H4="","",H4+0.42)</x:f>
        <x:v>84.438</x:v>
      </x:c>
    </x:row>
    <x:row r="5">
      <x:c r="A5" s="22" t="str">
        <x:v>MH-4</x:v>
      </x:c>
      <x:c r="B5" s="22" t="str">
        <x:v>manhole</x:v>
      </x:c>
      <x:c r="C5" s="22" t="n">
        <x:v>233.8</x:v>
      </x:c>
      <x:c r="D5" s="22" t="n">
        <x:v>5236.21</x:v>
      </x:c>
      <x:c r="E5" s="22" t="n">
        <x:v>7152.76</x:v>
      </x:c>
      <x:c r="F5" s="28" t="n">
        <x:v>84.828</x:v>
      </x:c>
      <x:c r="G5" s="28" t="n">
        <x:v>83.412</x:v>
      </x:c>
      <x:c r="H5" s="28" t="n">
        <x:v>83.342</x:v>
      </x:c>
      <x:c r="I5" s="28" t="n">
        <x:v>83.172</x:v>
      </x:c>
      <x:c r="J5" s="28" t="str">
        <x:v>sediment observed at benching</x:v>
      </x:c>
      <x:c r="K5" s="28" t="n">
        <x:f>IF(F5="","",F5+0.42)</x:f>
        <x:v>85.248</x:v>
      </x:c>
      <x:c r="L5" s="28" t="n">
        <x:f>IF(G5="","",G5+0.42)</x:f>
        <x:v>83.83200000000001</x:v>
      </x:c>
      <x:c r="M5" s="28" t="n">
        <x:f>IF(H5="","",H5+0.42)</x:f>
        <x:v>83.762</x:v>
      </x:c>
    </x:row>
    <x:row r="6">
      <x:c r="A6" s="22" t="str">
        <x:v>MH-5</x:v>
      </x:c>
      <x:c r="B6" s="22" t="str">
        <x:v>manhole</x:v>
      </x:c>
      <x:c r="C6" s="22" t="n">
        <x:v>319.7</x:v>
      </x:c>
      <x:c r="D6" s="22" t="n">
        <x:v>5321.54</x:v>
      </x:c>
      <x:c r="E6" s="22" t="n">
        <x:v>7124.88</x:v>
      </x:c>
      <x:c r="F6" s="28" t="n">
        <x:v>84.392</x:v>
      </x:c>
      <x:c r="G6" s="28" t="n">
        <x:v>82.684</x:v>
      </x:c>
      <x:c r="H6" s="28" t="n">
        <x:v>82.516</x:v>
      </x:c>
      <x:c r="I6" s="28" t="n">
        <x:v>82.366</x:v>
      </x:c>
      <x:c r="J6" s="28" t="str">
        <x:v>tailwater mark photo tied to this node</x:v>
      </x:c>
      <x:c r="K6" s="28" t="n">
        <x:f>IF(F6="","",F6+0.42)</x:f>
        <x:v>84.812</x:v>
      </x:c>
      <x:c r="L6" s="28" t="n">
        <x:f>IF(G6="","",G6+0.42)</x:f>
        <x:v>83.104</x:v>
      </x:c>
      <x:c r="M6" s="28" t="n">
        <x:f>IF(H6="","",H6+0.42)</x:f>
        <x:v>82.936</x:v>
      </x:c>
    </x:row>
    <x:row r="7">
      <x:c r="A7" s="22" t="str">
        <x:v>OUT-1</x:v>
      </x:c>
      <x:c r="B7" s="22" t="str">
        <x:v>box culvert outlet</x:v>
      </x:c>
      <x:c r="C7" s="22" t="n">
        <x:v>353.8</x:v>
      </x:c>
      <x:c r="D7" s="22" t="n">
        <x:v>5355.12</x:v>
      </x:c>
      <x:c r="E7" s="22" t="n">
        <x:v>7104.19</x:v>
      </x:c>
      <x:c r="F7" s="28" t="n">
        <x:v>83.884</x:v>
      </x:c>
      <x:c r="G7" s="28" t="n">
        <x:v>82.416</x:v>
      </x:c>
      <x:c r="H7" s="28" t="n">
        <x:v>82.416</x:v>
      </x:c>
      <x:c r="I7" s="28" t="n">
        <x:v>82.216</x:v>
      </x:c>
      <x:c r="J7" s="28" t="str">
        <x:v>outlet partly submerged on 14 May event</x:v>
      </x:c>
      <x:c r="K7" s="28" t="n">
        <x:f>IF(F7="","",F7+0.42)</x:f>
        <x:v>84.304</x:v>
      </x:c>
      <x:c r="L7" s="28" t="n">
        <x:f>IF(G7="","",G7+0.42)</x:f>
        <x:v>82.836</x:v>
      </x:c>
      <x:c r="M7" s="28" t="n">
        <x:f>IF(H7="","",H7+0.42)</x:f>
        <x:v>82.836</x:v>
      </x:c>
    </x:row>
  </x:sheetData>
  <x:pageMargins left="0.7" right="0.7" top="0.75" bottom="0.75" header="0.3" footer="0.3"/>
  <x:tableParts count="1">
    <x:tablePart xmlns:r="http://schemas.openxmlformats.org/officeDocument/2006/relationships" r:id="R5929cb53c2854b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20.75" hidden="0" customWidth="1"/>
    <x:col min="3" max="3" width="24.8799991607666" hidden="0" customWidth="1"/>
    <x:col min="4" max="4" width="10.880000114440918" hidden="0" customWidth="1"/>
    <x:col min="5" max="5" width="15" hidden="0" customWidth="1"/>
    <x:col min="6" max="6" width="62.5" hidden="0" customWidth="1"/>
    <x:col min="7" max="7" width="16.1299991607666" hidden="0" customWidth="1"/>
  </x:cols>
  <x:sheetData>
    <x:row r="1">
      <x:c r="A1" s="14" t="str">
        <x:v>Record_ID</x:v>
      </x:c>
      <x:c r="B1" s="14" t="str">
        <x:v>Record_Type</x:v>
      </x:c>
      <x:c r="C1" s="14" t="str">
        <x:v>Applies_To</x:v>
      </x:c>
      <x:c r="D1" s="14" t="str">
        <x:v>Correction_m</x:v>
      </x:c>
      <x:c r="E1" s="14" t="str">
        <x:v>Status</x:v>
      </x:c>
      <x:c r="F1" s="14" t="str">
        <x:v>Reason</x:v>
      </x:c>
      <x:c r="G1" s="14" t="str">
        <x:v>Use_in_Final_Model</x:v>
      </x:c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SUR-DAT-2026-05</x:v>
      </x:c>
      <x:c r="B2" s="22" t="str">
        <x:v>approved datum certificate</x:v>
      </x:c>
      <x:c r="C2" s="22" t="str">
        <x:v>All raw elevations in Raw_Survey</x:v>
      </x:c>
      <x:c r="D2" s="32" t="n">
        <x:v>0.42</x:v>
      </x:c>
      <x:c r="E2" s="22" t="str">
        <x:v>SIGNED - governing</x:v>
      </x:c>
      <x:c r="F2" s="22" t="str">
        <x:v>Control point BW-CP-14 re-levelled after temporary benchmark error</x:v>
      </x:c>
      <x:c r="G2" s="22" t="str">
        <x:v>Yes</x:v>
      </x:c>
    </x:row>
    <x:row r="3">
      <x:c r="A3" s="22" t="str">
        <x:v>SRV-FB-05</x:v>
      </x:c>
      <x:c r="B3" s="22" t="str">
        <x:v>field book note</x:v>
      </x:c>
      <x:c r="C3" s="22" t="str">
        <x:v>All raw elevations in Raw_Survey</x:v>
      </x:c>
      <x:c r="D3" s="32" t="n">
        <x:v>0.24</x:v>
      </x:c>
      <x:c r="E3" s="22" t="str">
        <x:v>SUPERSEDED</x:v>
      </x:c>
      <x:c r="F3" s="22" t="str">
        <x:v>Entered before benchmark re-level; retained only as conflict evidence</x:v>
      </x:c>
      <x:c r="G3" s="22" t="str">
        <x:v>No</x:v>
      </x:c>
    </x:row>
    <x:row r="4">
      <x:c r="A4" s="22" t="str">
        <x:v>SUR-CHK-2026-07</x:v>
      </x:c>
      <x:c r="B4" s="22" t="str">
        <x:v>spot check</x:v>
      </x:c>
      <x:c r="C4" s="22" t="str">
        <x:v>MH-3 rim and invert</x:v>
      </x:c>
      <x:c r="D4" s="32" t="n">
        <x:v>0.42</x:v>
      </x:c>
      <x:c r="E4" s="22" t="str">
        <x:v>CONFIRMED</x:v>
      </x:c>
      <x:c r="F4" s="22" t="str">
        <x:v>Independent check matches SUR-DAT-2026-05 within 0.006 m</x:v>
      </x:c>
      <x:c r="G4" s="22" t="str">
        <x:v>Yes</x:v>
      </x:c>
    </x:row>
    <x:row r="5">
      <x:c r="A5" s="22" t="str">
        <x:v>GIS-ASSET-2019</x:v>
      </x:c>
      <x:c r="B5" s="22" t="str">
        <x:v>legacy GIS asset table</x:v>
      </x:c>
      <x:c r="C5" s="22" t="str">
        <x:v>Pipe sizes and rim levels</x:v>
      </x:c>
      <x:c r="D5" s="32" t="n">
        <x:v>0</x:v>
      </x:c>
      <x:c r="E5" s="22" t="str">
        <x:v>NOT CONTROLLING</x:v>
      </x:c>
      <x:c r="F5" s="22" t="str">
        <x:v>GIS values are schematic and not sealed; use Rev D as-built plans for pipe geometry</x:v>
      </x:c>
      <x:c r="G5" s="2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12ff2fd2763e4b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34.880001068115234" hidden="0" customWidth="1"/>
    <x:col min="3" max="3" width="6.880000114440918" hidden="0" customWidth="1"/>
    <x:col min="4" max="4" width="15.380000114440918" hidden="0" customWidth="1"/>
    <x:col min="5" max="5" width="14.75" hidden="0" customWidth="1"/>
    <x:col min="6" max="6" width="14" hidden="0" customWidth="1"/>
    <x:col min="7" max="7" width="6.25" hidden="0" customWidth="1"/>
    <x:col min="8" max="8" width="64.62999725341797" hidden="0" customWidth="1"/>
  </x:cols>
  <x:sheetData>
    <x:row r="1">
      <x:c r="A1" s="14" t="str">
        <x:v>Catchment_ID</x:v>
      </x:c>
      <x:c r="B1" s="14" t="str">
        <x:v>Description</x:v>
      </x:c>
      <x:c r="C1" s="14" t="str">
        <x:v>Area_ha</x:v>
      </x:c>
      <x:c r="D1" s="14" t="str">
        <x:v>Surface</x:v>
      </x:c>
      <x:c r="E1" s="14" t="str">
        <x:v>Runoff_Coefficient</x:v>
      </x:c>
      <x:c r="F1" s="14" t="str">
        <x:v>Inlet_or_Node</x:v>
      </x:c>
      <x:c r="G1" s="14" t="str">
        <x:v>Status</x:v>
      </x:c>
      <x:c r="H1" s="14" t="str">
        <x:v>Reasoning_Note</x:v>
      </x:c>
      <x:c r="I1" s="22"/>
      <x:c r="J1" s="14" t="str">
        <x:v>Model_Total_Active_Area_ha</x:v>
      </x:c>
      <x:c r="K1" s="14" t="str">
        <x:v>Weighted_C</x:v>
      </x:c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C-01</x:v>
      </x:c>
      <x:c r="B2" s="22" t="str">
        <x:v>Briarwood westbound pavement to IN-1</x:v>
      </x:c>
      <x:c r="C2" s="32" t="n">
        <x:v>0.64</x:v>
      </x:c>
      <x:c r="D2" s="32" t="str">
        <x:v>asphalt carriageway</x:v>
      </x:c>
      <x:c r="E2" s="32" t="n">
        <x:v>0.9</x:v>
      </x:c>
      <x:c r="F2" s="22" t="str">
        <x:v>IN-1</x:v>
      </x:c>
      <x:c r="G2" s="22" t="str">
        <x:v>active</x:v>
      </x:c>
      <x:c r="H2" s="22" t="str">
        <x:v>Road crossfall sends flow to north gutter</x:v>
      </x:c>
      <x:c r="J2" s="26" t="n">
        <x:f>SUMIF(G2:G7,"active",C2:C7)</x:f>
        <x:v>2.7800000000000002</x:v>
      </x:c>
      <x:c r="K2" s="26" t="n">
        <x:f>SUMPRODUCT((G2:G7="active")*C2:C7*E2:E7)/J2</x:f>
        <x:v>0.8073741007194245</x:v>
      </x:c>
    </x:row>
    <x:row r="3">
      <x:c r="A3" s="22" t="str">
        <x:v>C-02</x:v>
      </x:c>
      <x:c r="B3" s="22" t="str">
        <x:v>Community centre roof and paved apron</x:v>
      </x:c>
      <x:c r="C3" s="32" t="n">
        <x:v>0.38</x:v>
      </x:c>
      <x:c r="D3" s="32" t="str">
        <x:v>roof/paved apron</x:v>
      </x:c>
      <x:c r="E3" s="32" t="n">
        <x:v>0.95</x:v>
      </x:c>
      <x:c r="F3" s="22" t="str">
        <x:v>MH-2</x:v>
      </x:c>
      <x:c r="G3" s="22" t="str">
        <x:v>active</x:v>
      </x:c>
      <x:c r="H3" s="22" t="str">
        <x:v>Roof leader connects to MH-2 per facilities plan</x:v>
      </x:c>
    </x:row>
    <x:row r="4">
      <x:c r="A4" s="22" t="str">
        <x:v>C-03</x:v>
      </x:c>
      <x:c r="B4" s="22" t="str">
        <x:v>South parking lot</x:v>
      </x:c>
      <x:c r="C4" s="32" t="n">
        <x:v>0.92</x:v>
      </x:c>
      <x:c r="D4" s="32" t="str">
        <x:v>asphalt parking</x:v>
      </x:c>
      <x:c r="E4" s="32" t="n">
        <x:v>0.9</x:v>
      </x:c>
      <x:c r="F4" s="22" t="str">
        <x:v>MH-3</x:v>
      </x:c>
      <x:c r="G4" s="22" t="str">
        <x:v>active</x:v>
      </x:c>
      <x:c r="H4" s="22" t="str">
        <x:v>Sheet flow reaches CB-3 and MH-3 branch</x:v>
      </x:c>
    </x:row>
    <x:row r="5">
      <x:c r="A5" s="22" t="str">
        <x:v>C-04</x:v>
      </x:c>
      <x:c r="B5" s="22" t="str">
        <x:v>Library landscaping strip</x:v>
      </x:c>
      <x:c r="C5" s="32" t="n">
        <x:v>0.31</x:v>
      </x:c>
      <x:c r="D5" s="32" t="str">
        <x:v>landscaped slope</x:v>
      </x:c>
      <x:c r="E5" s="32" t="n">
        <x:v>0.35</x:v>
      </x:c>
      <x:c r="F5" s="22" t="str">
        <x:v>MH-3</x:v>
      </x:c>
      <x:c r="G5" s="22" t="str">
        <x:v>active</x:v>
      </x:c>
      <x:c r="H5" s="22" t="str">
        <x:v>No underdrain record; use surface runoff only</x:v>
      </x:c>
    </x:row>
    <x:row r="6">
      <x:c r="A6" s="22" t="str">
        <x:v>C-05</x:v>
      </x:c>
      <x:c r="B6" s="22" t="str">
        <x:v>P-07 contractor yard</x:v>
      </x:c>
      <x:c r="C6" s="32" t="n">
        <x:v>0.53</x:v>
      </x:c>
      <x:c r="D6" s="32" t="str">
        <x:v>compacted gravel</x:v>
      </x:c>
      <x:c r="E6" s="32" t="n">
        <x:v>0.7</x:v>
      </x:c>
      <x:c r="F6" s="22" t="str">
        <x:v>MH-4</x:v>
      </x:c>
      <x:c r="G6" s="22" t="str">
        <x:v>active</x:v>
      </x:c>
      <x:c r="H6" s="22" t="str">
        <x:v>Field photo P-07 confirms gravel, not asphalt</x:v>
      </x:c>
    </x:row>
    <x:row r="7">
      <x:c r="A7" s="22" t="str">
        <x:v>C-06</x:v>
      </x:c>
      <x:c r="B7" s="22" t="str">
        <x:v>East apron previously shown on 2019 GIS map</x:v>
      </x:c>
      <x:c r="C7" s="32" t="n">
        <x:v>0.42</x:v>
      </x:c>
      <x:c r="D7" s="32" t="str">
        <x:v>mixed pavement</x:v>
      </x:c>
      <x:c r="E7" s="32" t="n">
        <x:v>0.9</x:v>
      </x:c>
      <x:c r="F7" s="22" t="str">
        <x:v>Cedar Lane outfall</x:v>
      </x:c>
      <x:c r="G7" s="22" t="str">
        <x:v>exclude</x:v>
      </x:c>
      <x:c r="H7" s="22" t="str">
        <x:v>2025 curb project diverted this area to Cedar Lane; do not include in Briarwood model</x:v>
      </x:c>
    </x:row>
  </x:sheetData>
  <x:pageMargins left="0.7" right="0.7" top="0.75" bottom="0.75" header="0.3" footer="0.3"/>
  <x:tableParts count="1">
    <x:tablePart xmlns:r="http://schemas.openxmlformats.org/officeDocument/2006/relationships" r:id="Rd04e2509d69245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.630000114440918" hidden="0" customWidth="1"/>
    <x:col min="3" max="3" width="40.75" hidden="0" customWidth="1"/>
    <x:col min="4" max="4" width="38.25" hidden="0" customWidth="1"/>
    <x:col min="5" max="5" width="40.25" hidden="0" customWidth="1"/>
    <x:col min="6" max="6" width="66.5" hidden="0" customWidth="1"/>
  </x:cols>
  <x:sheetData>
    <x:row r="1">
      <x:c r="A1" s="14" t="str">
        <x:v>Issue_ID</x:v>
      </x:c>
      <x:c r="B1" s="14" t="str">
        <x:v>Topic</x:v>
      </x:c>
      <x:c r="C1" s="14" t="str">
        <x:v>Conflicting_Source_A</x:v>
      </x:c>
      <x:c r="D1" s="14" t="str">
        <x:v>Conflicting_Source_B</x:v>
      </x:c>
      <x:c r="E1" s="14" t="str">
        <x:v>Resolution_Source</x:v>
      </x:c>
      <x:c r="F1" s="14" t="str">
        <x:v>Required_Deduction</x:v>
      </x:c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QA-01</x:v>
      </x:c>
      <x:c r="B2" s="22" t="str">
        <x:v>Datum correction</x:v>
      </x:c>
      <x:c r="C2" s="22" t="str">
        <x:v>+0.24 m in SRV-FB-05</x:v>
      </x:c>
      <x:c r="D2" s="22" t="str">
        <x:v>+0.42 m in SUR-DAT-2026-05</x:v>
      </x:c>
      <x:c r="E2" s="22" t="str">
        <x:v>Approved_Correction sheet, record SUR-DAT-2026-05</x:v>
      </x:c>
      <x:c r="F2" s="22" t="str">
        <x:v>Use +0.42 m for all raw survey elevations; treat +0.24 m as superseded.</x:v>
      </x:c>
    </x:row>
    <x:row r="3">
      <x:c r="A3" s="22" t="str">
        <x:v>QA-02</x:v>
      </x:c>
      <x:c r="B3" s="22" t="str">
        <x:v>Drainage area</x:v>
      </x:c>
      <x:c r="C3" s="22" t="str">
        <x:v>2019 GIS total area 3.20 ha</x:v>
      </x:c>
      <x:c r="D3" s="22" t="str">
        <x:v>Active catchment total 2.78 ha from this workbook</x:v>
      </x:c>
      <x:c r="E3" s="22" t="str">
        <x:v>Catchment_Areas sheet plus Storm Event photo P-03</x:v>
      </x:c>
      <x:c r="F3" s="22" t="str">
        <x:v>Exclude C-06 because 2025 curb diversion sends it to Cedar Lane, not Briarwood Avenue.</x:v>
      </x:c>
    </x:row>
    <x:row r="4">
      <x:c r="A4" s="22" t="str">
        <x:v>QA-03</x:v>
      </x:c>
      <x:c r="B4" s="22" t="str">
        <x:v>P-07 surface type</x:v>
      </x:c>
      <x:c r="C4" s="22" t="str">
        <x:v>Operations email calls P-07 asphalt</x:v>
      </x:c>
      <x:c r="D4" s="22" t="str">
        <x:v>Field photo P-07 shows compacted gravel</x:v>
      </x:c>
      <x:c r="E4" s="22" t="str">
        <x:v>Storm_Event_and_Field_Photos.docx, Photo P-07</x:v>
      </x:c>
      <x:c r="F4" s="22" t="str">
        <x:v>Use runoff coefficient 0.70, not 0.90, for C-05.</x:v>
      </x:c>
    </x:row>
    <x:row r="5">
      <x:c r="A5" s="22" t="str">
        <x:v>QA-04</x:v>
      </x:c>
      <x:c r="B5" s="22" t="str">
        <x:v>Pipe geometry</x:v>
      </x:c>
      <x:c r="C5" s="22" t="str">
        <x:v>GIS asset register lists MH-2 to MH-3 as 450 mm</x:v>
      </x:c>
      <x:c r="D5" s="22" t="str">
        <x:v>Rev D as-built plans show 600 mm RCP</x:v>
      </x:c>
      <x:c r="E5" s="22" t="str">
        <x:v>Briarwood_Drainage_AsBuilt_Plans.pdf, Sheet C-203</x:v>
      </x:c>
      <x:c r="F5" s="22" t="str">
        <x:v>Use Rev D as-built pipe sizes and inverts for hydraulic model.</x:v>
      </x:c>
    </x:row>
    <x:row r="6">
      <x:c r="A6" s="22" t="str">
        <x:v>QA-05</x:v>
      </x:c>
      <x:c r="B6" s="22" t="str">
        <x:v>Outlet culvert shape</x:v>
      </x:c>
      <x:c r="C6" s="22" t="str">
        <x:v>Field note says 'appears 750 circular' from partial view</x:v>
      </x:c>
      <x:c r="D6" s="22" t="str">
        <x:v>As-built detail C-401 shows 900 x 600 RC box</x:v>
      </x:c>
      <x:c r="E6" s="22" t="str">
        <x:v>Briarwood_Drainage_AsBuilt_Plans.pdf, Sheet C-401</x:v>
      </x:c>
      <x:c r="F6" s="22" t="str">
        <x:v>Use 900 x 600 box culvert; record visual obstruction as an open CCTV item.</x:v>
      </x:c>
    </x:row>
  </x:sheetData>
  <x:pageMargins left="0.7" right="0.7" top="0.75" bottom="0.75" header="0.3" footer="0.3"/>
</x:worksheet>
</file>