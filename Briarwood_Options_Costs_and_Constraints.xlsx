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0162a48d3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_Control" sheetId="1" r:id="R28a5b1d3d1284fe6"/>
    <x:sheet xmlns:r="http://schemas.openxmlformats.org/officeDocument/2006/relationships" name="Mandatory_Constraints" sheetId="2" r:id="Rdba267a7c70d4b3c"/>
    <x:sheet xmlns:r="http://schemas.openxmlformats.org/officeDocument/2006/relationships" name="Option_Quotes" sheetId="3" r:id="R16b3e8d8663948f1"/>
    <x:sheet xmlns:r="http://schemas.openxmlformats.org/officeDocument/2006/relationships" name="Lifecycle_Costs" sheetId="4" r:id="Rb6ce1f94df754d0d"/>
    <x:sheet xmlns:r="http://schemas.openxmlformats.org/officeDocument/2006/relationships" name="Owner_Decisions" sheetId="5" r:id="Rd16c9e64c629419a"/>
    <x:sheet xmlns:r="http://schemas.openxmlformats.org/officeDocument/2006/relationships" name="Known_Open_Items" sheetId="6" r:id="R94ea21dcfa41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£#,##0"/>
    <x:numFmt numFmtId="203" formatCode="0.000"/>
    <x:numFmt numFmtId="204" formatCode="yyyy-mm-dd"/>
  </x:numFmts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9f06eedf84b2f" /><Relationship Type="http://schemas.openxmlformats.org/officeDocument/2006/relationships/theme" Target="/xl/theme/theme1.xml" Id="R854d019f6386446b" /><Relationship Type="http://schemas.openxmlformats.org/officeDocument/2006/relationships/sharedStrings" Target="/xl/sharedStrings.xml" Id="Rdcf243b737a14bfd" /><Relationship Type="http://schemas.openxmlformats.org/officeDocument/2006/relationships/worksheet" Target="/xl/worksheets/sheet1.xml" Id="R28a5b1d3d1284fe6" /><Relationship Type="http://schemas.openxmlformats.org/officeDocument/2006/relationships/worksheet" Target="/xl/worksheets/sheet2.xml" Id="Rdba267a7c70d4b3c" /><Relationship Type="http://schemas.openxmlformats.org/officeDocument/2006/relationships/worksheet" Target="/xl/worksheets/sheet3.xml" Id="R16b3e8d8663948f1" /><Relationship Type="http://schemas.openxmlformats.org/officeDocument/2006/relationships/worksheet" Target="/xl/worksheets/sheet4.xml" Id="Rb6ce1f94df754d0d" /><Relationship Type="http://schemas.openxmlformats.org/officeDocument/2006/relationships/worksheet" Target="/xl/worksheets/sheet5.xml" Id="Rd16c9e64c629419a" /><Relationship Type="http://schemas.openxmlformats.org/officeDocument/2006/relationships/worksheet" Target="/xl/worksheets/sheet6.xml" Id="R94ea21dcfa414a8e" /></Relationships>
</file>

<file path=xl/tables/table1.xml><?xml version="1.0" encoding="utf-8"?>
<x:table xmlns:x="http://schemas.openxmlformats.org/spreadsheetml/2006/main" id="1" name="MandatoryConstraintsTable" displayName="MandatoryConstraintsTable" ref="A1:I9" headerRowCount="1">
  <x:tableColumns count="9">
    <x:tableColumn id="1" name="Constraint_ID"/>
    <x:tableColumn id="2" name="Category"/>
    <x:tableColumn id="3" name="Requirement"/>
    <x:tableColumn id="4" name="Required_Value"/>
    <x:tableColumn id="5" name="Units"/>
    <x:tableColumn id="6" name="Source_Record"/>
    <x:tableColumn id="7" name="Applies_To"/>
    <x:tableColumn id="8" name="Pass_Fail_Rule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OptionQuotesTable" displayName="OptionQuotesTable" ref="A1:O5" headerRowCount="1">
  <x:tableColumns count="15">
    <x:tableColumn id="1" name="Option_ID"/>
    <x:tableColumn id="2" name="Option_Name"/>
    <x:tableColumn id="3" name="Scope_Summary"/>
    <x:tableColumn id="4" name="Pipe_Upsize"/>
    <x:tableColumn id="5" name="Culvert_Work"/>
    <x:tableColumn id="6" name="Additional_Inlets"/>
    <x:tableColumn id="7" name="Easement_Required"/>
    <x:tableColumn id="8" name="Quoted_Capex_GBP"/>
    <x:tableColumn id="9" name="Annual_OM_GBP"/>
    <x:tableColumn id="10" name="Full_Lane_Closure_Days"/>
    <x:tableColumn id="11" name="Vendor_Design_Flow_m3s"/>
    <x:tableColumn id="12" name="Vendor_HGL_Status"/>
    <x:tableColumn id="13" name="Vendor_Culvert_HW_D"/>
    <x:tableColumn id="14" name="Quote_Status"/>
    <x:tableColumn id="15" name="Known_Issue"/>
  </x:tableColumns>
  <x:tableStyleInfo name="TableStyleMedium2" showRowStripes="1"/>
</x:table>
</file>

<file path=xl/tables/table3.xml><?xml version="1.0" encoding="utf-8"?>
<x:table xmlns:x="http://schemas.openxmlformats.org/spreadsheetml/2006/main" id="3" name="LifecycleCostTable" displayName="LifecycleCostTable" ref="A1:I5" headerRowCount="1">
  <x:tableColumns count="9">
    <x:tableColumn id="1" name="Option_ID"/>
    <x:tableColumn id="2" name="Capex_GBP"/>
    <x:tableColumn id="3" name="Annual_OM_GBP"/>
    <x:tableColumn id="4" name="Design_Life_years"/>
    <x:tableColumn id="5" name="Discount_Rate"/>
    <x:tableColumn id="6" name="PV_Factor_30yr"/>
    <x:tableColumn id="7" name="PV_OM_GBP"/>
    <x:tableColumn id="8" name="Thirty_Year_PV_GBP"/>
    <x:tableColumn id="9" name="PV_Result"/>
  </x:tableColumns>
  <x:tableStyleInfo name="TableStyleMedium2" showRowStripes="1"/>
</x:table>
</file>

<file path=xl/tables/table4.xml><?xml version="1.0" encoding="utf-8"?>
<x:table xmlns:x="http://schemas.openxmlformats.org/spreadsheetml/2006/main" id="4" name="OwnerDecisionsTable" displayName="OwnerDecisionsTable" ref="A1:F5" headerRowCount="1">
  <x:tableColumns count="6">
    <x:tableColumn id="1" name="Decision_ID"/>
    <x:tableColumn id="2" name="Topic"/>
    <x:tableColumn id="3" name="Decision"/>
    <x:tableColumn id="4" name="Authority"/>
    <x:tableColumn id="5" name="Date"/>
    <x:tableColumn id="6" name="Effect_on_Model"/>
  </x:tableColumns>
  <x:tableStyleInfo name="TableStyleMedium2" showRowStripes="1"/>
</x:table>
</file>

<file path=xl/tables/table5.xml><?xml version="1.0" encoding="utf-8"?>
<x:table xmlns:x="http://schemas.openxmlformats.org/spreadsheetml/2006/main" id="5" name="KnownOpenItemsTable" displayName="KnownOpenItemsTable" ref="A1:H7" headerRowCount="1">
  <x:tableColumns count="8">
    <x:tableColumn id="1" name="Open_Item_ID"/>
    <x:tableColumn id="2" name="Unresolved_Fact"/>
    <x:tableColumn id="3" name="Affected_Decision"/>
    <x:tableColumn id="4" name="Owner"/>
    <x:tableColumn id="5" name="Decision_Gate"/>
    <x:tableColumn id="6" name="Status"/>
    <x:tableColumn id="7" name="Blocking_60pct_Design"/>
    <x:tableColumn id="8" name="Required_Closeout_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68a6d477ad4a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28d5fbea5f43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fada8e5c914d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52cc3b694541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08008dd720410f" /></Relationships>
</file>

<file path=xl/worksheets/sheet1.xml><?xml version="1.0" encoding="utf-8"?>
<x:worksheet xmlns:x="http://schemas.openxmlformats.org/spreadsheetml/2006/main">
  <x:sheetFormatPr defaultRowHeight="15"/>
  <x:cols>
    <x:col min="1" max="1" width="68.37999725341797" hidden="0" customWidth="1"/>
    <x:col min="2" max="2" width="52.630001068115234" hidden="0" customWidth="1"/>
    <x:col min="3" max="3" width="52.130001068115234" hidden="0" customWidth="1"/>
  </x:cols>
  <x:sheetData>
    <x:row r="1">
      <x:c r="A1" s="5" t="str">
        <x:v>Briarwood Avenue Drainage Upgrade - Options, Costs, and Constraints</x:v>
      </x:c>
    </x:row>
    <x:row r="3">
      <x:c r="A3" s="14" t="str">
        <x:v>Field</x:v>
      </x:c>
      <x:c r="B3" s="14" t="str">
        <x:v>Value</x:v>
      </x:c>
      <x:c r="C3" s="14" t="str">
        <x:v>Notes</x:v>
      </x:c>
    </x:row>
    <x:row r="4">
      <x:c r="A4" s="22" t="str">
        <x:v>Document ID</x:v>
      </x:c>
      <x:c r="B4" s="22" t="str">
        <x:v>BA-DGN-CST-014</x:v>
      </x:c>
      <x:c r="C4" s="22" t="str">
        <x:v>Commercial and design-constraint workbook</x:v>
      </x:c>
    </x:row>
    <x:row r="5">
      <x:c r="A5" s="22" t="str">
        <x:v>Revision</x:v>
      </x:c>
      <x:c r="B5" s="22" t="str">
        <x:v>F</x:v>
      </x:c>
      <x:c r="C5" s="22" t="str">
        <x:v>Issued for 60% design option screening</x:v>
      </x:c>
    </x:row>
    <x:row r="6">
      <x:c r="A6" s="22" t="str">
        <x:v>Status</x:v>
      </x:c>
      <x:c r="B6" s="22" t="str">
        <x:v>SIGNED - governing constraints</x:v>
      </x:c>
      <x:c r="C6" s="22" t="str">
        <x:v>Supersedes Revision E budget worksheet</x:v>
      </x:c>
    </x:row>
    <x:row r="7">
      <x:c r="A7" s="22" t="str">
        <x:v>Issue date</x:v>
      </x:c>
      <x:c r="B7" s="23" t="n">
        <x:v>0.035</x:v>
      </x:c>
      <x:c r="C7" s="22" t="str">
        <x:v>Council drainage programme board</x:v>
      </x:c>
    </x:row>
    <x:row r="8">
      <x:c r="A8" s="22" t="str">
        <x:v>Currency</x:v>
      </x:c>
      <x:c r="B8" s="22" t="str">
        <x:v>GBP</x:v>
      </x:c>
      <x:c r="C8" s="22" t="str">
        <x:v>Costs exclude VAT unless noted</x:v>
      </x:c>
    </x:row>
    <x:row r="9">
      <x:c r="A9" s="22" t="str">
        <x:v>Discount rate for 30-year comparison</x:v>
      </x:c>
      <x:c r="B9" s="22" t="n">
        <x:v>0.035</x:v>
      </x:c>
      <x:c r="C9" s="22" t="str">
        <x:v>Use real discount rate unless public-source lookup requires otherwise</x:v>
      </x:c>
    </x:row>
    <x:row r="10">
      <x:c r="A10" s="22" t="str">
        <x:v>Authority note</x:v>
      </x:c>
      <x:c r="B10" s="22" t="str">
        <x:v>This workbook controls project-specific constraints and option pricing.</x:v>
      </x:c>
      <x:c r="C10" s="22" t="str">
        <x:v>Public references only control methods, not project costs.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15.380000114440918" hidden="0" customWidth="1"/>
    <x:col min="3" max="3" width="50.880001068115234" hidden="0" customWidth="1"/>
    <x:col min="4" max="4" width="19.8799991607666" hidden="0" customWidth="1"/>
    <x:col min="5" max="5" width="10.25" hidden="0" customWidth="1"/>
    <x:col min="6" max="6" width="37.130001068115234" hidden="0" customWidth="1"/>
    <x:col min="7" max="7" width="15.75" hidden="0" customWidth="1"/>
    <x:col min="8" max="8" width="57.75" hidden="0" customWidth="1"/>
    <x:col min="9" max="9" width="8.75" hidden="0" customWidth="1"/>
  </x:cols>
  <x:sheetData>
    <x:row r="1">
      <x:c r="A1" s="14" t="str">
        <x:v>Constraint_ID</x:v>
      </x:c>
      <x:c r="B1" s="14" t="str">
        <x:v>Category</x:v>
      </x:c>
      <x:c r="C1" s="14" t="str">
        <x:v>Requirement</x:v>
      </x:c>
      <x:c r="D1" s="14" t="str">
        <x:v>Required_Value</x:v>
      </x:c>
      <x:c r="E1" s="14" t="str">
        <x:v>Units</x:v>
      </x:c>
      <x:c r="F1" s="14" t="str">
        <x:v>Source_Record</x:v>
      </x:c>
      <x:c r="G1" s="14" t="str">
        <x:v>Applies_To</x:v>
      </x:c>
      <x:c r="H1" s="14" t="str">
        <x:v>Pass_Fail_Rule</x:v>
      </x:c>
      <x:c r="I1" s="14" t="str">
        <x:v>Status</x:v>
      </x:c>
    </x:row>
    <x:row r="2">
      <x:c r="A2" s="22" t="str">
        <x:v>REQ-RAIN-01</x:v>
      </x:c>
      <x:c r="B2" s="22" t="str">
        <x:v>Hydrology</x:v>
      </x:c>
      <x:c r="C2" s="22" t="str">
        <x:v>Use 25-year storm and 15-minute duration from NOAA PFDS lookup</x:v>
      </x:c>
      <x:c r="D2" s="28" t="str">
        <x:v>25-year / 15-min</x:v>
      </x:c>
      <x:c r="E2" s="22" t="str">
        <x:v>event basis</x:v>
      </x:c>
      <x:c r="F2" s="22" t="str">
        <x:v>Authority workbook + public lookup</x:v>
      </x:c>
      <x:c r="G2" s="22" t="str">
        <x:v>hydrology</x:v>
      </x:c>
      <x:c r="H2" s="22" t="str">
        <x:v>Use current PFDS estimate for project coordinates; reject 10-year draft value.</x:v>
      </x:c>
      <x:c r="I2" s="22" t="str">
        <x:v>mandatory</x:v>
      </x:c>
    </x:row>
    <x:row r="3">
      <x:c r="A3" s="22" t="str">
        <x:v>REQ-SPREAD-01</x:v>
      </x:c>
      <x:c r="B3" s="22" t="str">
        <x:v>Roadway drainage</x:v>
      </x:c>
      <x:c r="C3" s="22" t="str">
        <x:v>Maximum gutter spread into outside lane at sag inlet</x:v>
      </x:c>
      <x:c r="D3" s="28" t="n">
        <x:v>1.8</x:v>
      </x:c>
      <x:c r="E3" s="22" t="str">
        <x:v>m</x:v>
      </x:c>
      <x:c r="F3" s="22" t="str">
        <x:v>Council Drainage Design Directive CDD-2026-04</x:v>
      </x:c>
      <x:c r="G3" s="22" t="str">
        <x:v>all options</x:v>
      </x:c>
      <x:c r="H3" s="22" t="str">
        <x:v>Pass if calculated 25-year spread is &lt;= 1.80 m.</x:v>
      </x:c>
      <x:c r="I3" s="22" t="str">
        <x:v>mandatory</x:v>
      </x:c>
    </x:row>
    <x:row r="4">
      <x:c r="A4" s="22" t="str">
        <x:v>REQ-HGL-01</x:v>
      </x:c>
      <x:c r="B4" s="22" t="str">
        <x:v>Storm drain</x:v>
      </x:c>
      <x:c r="C4" s="22" t="str">
        <x:v>Minimum freeboard between hydraulic grade line and manhole rim</x:v>
      </x:c>
      <x:c r="D4" s="28" t="n">
        <x:v>0.3</x:v>
      </x:c>
      <x:c r="E4" s="22" t="str">
        <x:v>m</x:v>
      </x:c>
      <x:c r="F4" s="22" t="str">
        <x:v>Council Drainage Design Directive CDD-2026-04</x:v>
      </x:c>
      <x:c r="G4" s="22" t="str">
        <x:v>MH-2 through MH-5</x:v>
      </x:c>
      <x:c r="H4" s="22" t="str">
        <x:v>Pass if HGL is at least 0.30 m below each corrected rim.</x:v>
      </x:c>
      <x:c r="I4" s="22" t="str">
        <x:v>mandatory</x:v>
      </x:c>
    </x:row>
    <x:row r="5">
      <x:c r="A5" s="22" t="str">
        <x:v>REQ-CULV-01</x:v>
      </x:c>
      <x:c r="B5" s="22" t="str">
        <x:v>Culvert</x:v>
      </x:c>
      <x:c r="C5" s="22" t="str">
        <x:v>Maximum headwater depth ratio at C-01</x:v>
      </x:c>
      <x:c r="D5" s="28" t="n">
        <x:v>1.2</x:v>
      </x:c>
      <x:c r="E5" s="22" t="str">
        <x:v>HW/D</x:v>
      </x:c>
      <x:c r="F5" s="22" t="str">
        <x:v>FHWA HDS-5 method + Council directive</x:v>
      </x:c>
      <x:c r="G5" s="22" t="str">
        <x:v>outlet culvert</x:v>
      </x:c>
      <x:c r="H5" s="22" t="str">
        <x:v>Pass if HW/D &lt;= 1.20 under 25-year peak flow and governing tailwater.</x:v>
      </x:c>
      <x:c r="I5" s="22" t="str">
        <x:v>mandatory</x:v>
      </x:c>
    </x:row>
    <x:row r="6">
      <x:c r="A6" s="22" t="str">
        <x:v>REQ-EASE-01</x:v>
      </x:c>
      <x:c r="B6" s="22" t="str">
        <x:v>Land access</x:v>
      </x:c>
      <x:c r="C6" s="22" t="str">
        <x:v>No work outside public right-of-way without signed easement</x:v>
      </x:c>
      <x:c r="D6" s="28" t="str">
        <x:v>signed easement required</x:v>
      </x:c>
      <x:c r="E6" s="22" t="str">
        <x:v>record</x:v>
      </x:c>
      <x:c r="F6" s="22" t="str">
        <x:v>Council legal directive CLD-2026-11</x:v>
      </x:c>
      <x:c r="G6" s="22" t="str">
        <x:v>all options</x:v>
      </x:c>
      <x:c r="H6" s="22" t="str">
        <x:v>Fail if option requires private easement and no signed easement is attached.</x:v>
      </x:c>
      <x:c r="I6" s="22" t="str">
        <x:v>mandatory</x:v>
      </x:c>
    </x:row>
    <x:row r="7">
      <x:c r="A7" s="22" t="str">
        <x:v>REQ-CAPEX-01</x:v>
      </x:c>
      <x:c r="B7" s="22" t="str">
        <x:v>Capital cost</x:v>
      </x:c>
      <x:c r="C7" s="22" t="str">
        <x:v>Maximum construction capex for 60% design advancement</x:v>
      </x:c>
      <x:c r="D7" s="28" t="n">
        <x:v>370000</x:v>
      </x:c>
      <x:c r="E7" s="22" t="str">
        <x:v>GBP</x:v>
      </x:c>
      <x:c r="F7" s="22" t="str">
        <x:v>Council programme board minute PB-2026-05-21</x:v>
      </x:c>
      <x:c r="G7" s="22" t="str">
        <x:v>all options</x:v>
      </x:c>
      <x:c r="H7" s="22" t="str">
        <x:v>Pass if quoted capex &lt;= GBP 370000.</x:v>
      </x:c>
      <x:c r="I7" s="22" t="str">
        <x:v>mandatory</x:v>
      </x:c>
    </x:row>
    <x:row r="8">
      <x:c r="A8" s="22" t="str">
        <x:v>REQ-PV-01</x:v>
      </x:c>
      <x:c r="B8" s="22" t="str">
        <x:v>Lifecycle cost</x:v>
      </x:c>
      <x:c r="C8" s="22" t="str">
        <x:v>Maximum 30-year present value including annual O&amp;M</x:v>
      </x:c>
      <x:c r="D8" s="28" t="n">
        <x:v>620000</x:v>
      </x:c>
      <x:c r="E8" s="22" t="str">
        <x:v>GBP</x:v>
      </x:c>
      <x:c r="F8" s="22" t="str">
        <x:v>Council programme board minute PB-2026-05-21</x:v>
      </x:c>
      <x:c r="G8" s="22" t="str">
        <x:v>all options</x:v>
      </x:c>
      <x:c r="H8" s="22" t="str">
        <x:v>Pass if 30-year present value &lt;= GBP 620000.</x:v>
      </x:c>
      <x:c r="I8" s="22" t="str">
        <x:v>mandatory</x:v>
      </x:c>
    </x:row>
    <x:row r="9">
      <x:c r="A9" s="22" t="str">
        <x:v>REQ-CLOSURE-01</x:v>
      </x:c>
      <x:c r="B9" s="22" t="str">
        <x:v>Traffic management</x:v>
      </x:c>
      <x:c r="C9" s="22" t="str">
        <x:v>Maximum full-lane closure duration</x:v>
      </x:c>
      <x:c r="D9" s="28" t="n">
        <x:v>10</x:v>
      </x:c>
      <x:c r="E9" s="22" t="str">
        <x:v>working days</x:v>
      </x:c>
      <x:c r="F9" s="22" t="str">
        <x:v>Traffic operations note TO-2026-17</x:v>
      </x:c>
      <x:c r="G9" s="22" t="str">
        <x:v>all options</x:v>
      </x:c>
      <x:c r="H9" s="22" t="str">
        <x:v>Pass if full-lane closure duration &lt;= 10 working days.</x:v>
      </x:c>
      <x:c r="I9" s="22" t="str">
        <x:v>mandatory</x:v>
      </x:c>
    </x:row>
  </x:sheetData>
  <x:pageMargins left="0.7" right="0.7" top="0.75" bottom="0.75" header="0.3" footer="0.3"/>
  <x:tableParts count="1">
    <x:tablePart xmlns:r="http://schemas.openxmlformats.org/officeDocument/2006/relationships" r:id="R9068a6d477ad4a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30.6299991607666" hidden="0" customWidth="1"/>
    <x:col min="3" max="3" width="61.380001068115234" hidden="0" customWidth="1"/>
    <x:col min="4" max="4" width="14.880000114440918" hidden="0" customWidth="1"/>
    <x:col min="5" max="5" width="20.1299991607666" hidden="0" customWidth="1"/>
    <x:col min="6" max="6" width="13.630000114440918" hidden="0" customWidth="1"/>
    <x:col min="7" max="7" width="15.75" hidden="0" customWidth="1"/>
    <x:col min="8" max="8" width="15.880000114440918" hidden="0" customWidth="1"/>
    <x:col min="9" max="9" width="13.75" hidden="0" customWidth="1"/>
    <x:col min="10" max="10" width="18.8799991607666" hidden="0" customWidth="1"/>
    <x:col min="11" max="11" width="20.75" hidden="0" customWidth="1"/>
    <x:col min="12" max="12" width="24.8799991607666" hidden="0" customWidth="1"/>
    <x:col min="13" max="13" width="18.25" hidden="0" customWidth="1"/>
    <x:col min="14" max="14" width="13.75" hidden="0" customWidth="1"/>
    <x:col min="15" max="15" width="43.380001068115234" hidden="0" customWidth="1"/>
  </x:cols>
  <x:sheetData>
    <x:row r="1">
      <x:c r="A1" s="14" t="str">
        <x:v>Option_ID</x:v>
      </x:c>
      <x:c r="B1" s="14" t="str">
        <x:v>Option_Name</x:v>
      </x:c>
      <x:c r="C1" s="14" t="str">
        <x:v>Scope_Summary</x:v>
      </x:c>
      <x:c r="D1" s="14" t="str">
        <x:v>Pipe_Upsize</x:v>
      </x:c>
      <x:c r="E1" s="14" t="str">
        <x:v>Culvert_Work</x:v>
      </x:c>
      <x:c r="F1" s="14" t="str">
        <x:v>Additional_Inlets</x:v>
      </x:c>
      <x:c r="G1" s="14" t="str">
        <x:v>Easement_Required</x:v>
      </x:c>
      <x:c r="H1" s="14" t="str">
        <x:v>Quoted_Capex_GBP</x:v>
      </x:c>
      <x:c r="I1" s="14" t="str">
        <x:v>Annual_OM_GBP</x:v>
      </x:c>
      <x:c r="J1" s="14" t="str">
        <x:v>Full_Lane_Closure_Days</x:v>
      </x:c>
      <x:c r="K1" s="14" t="str">
        <x:v>Vendor_Design_Flow_m3s</x:v>
      </x:c>
      <x:c r="L1" s="14" t="str">
        <x:v>Vendor_HGL_Status</x:v>
      </x:c>
      <x:c r="M1" s="14" t="str">
        <x:v>Vendor_Culvert_HW_D</x:v>
      </x:c>
      <x:c r="N1" s="14" t="str">
        <x:v>Quote_Status</x:v>
      </x:c>
      <x:c r="O1" s="14" t="str">
        <x:v>Known_Issue</x:v>
      </x:c>
    </x:row>
    <x:row r="2">
      <x:c r="A2" s="22" t="str">
        <x:v>A</x:v>
      </x:c>
      <x:c r="B2" s="22" t="str">
        <x:v>Targeted storm-drain upsize</x:v>
      </x:c>
      <x:c r="C2" s="22" t="str">
        <x:v>Replace MH-3 to MH-5 with larger RCP and add two curb inlets</x:v>
      </x:c>
      <x:c r="D2" s="22" t="str">
        <x:v>MH-3 to MH-5 only</x:v>
      </x:c>
      <x:c r="E2" s="22" t="str">
        <x:v>none</x:v>
      </x:c>
      <x:c r="F2" s="22" t="n">
        <x:v>2</x:v>
      </x:c>
      <x:c r="G2" s="22" t="str">
        <x:v>No</x:v>
      </x:c>
      <x:c r="H2" s="32" t="n">
        <x:v>288000</x:v>
      </x:c>
      <x:c r="I2" s="32" t="n">
        <x:v>5200</x:v>
      </x:c>
      <x:c r="J2" s="28" t="n">
        <x:v>6</x:v>
      </x:c>
      <x:c r="K2" s="28" t="n">
        <x:v>0.78</x:v>
      </x:c>
      <x:c r="L2" s="22" t="str">
        <x:v>fails MH-5 freeboard</x:v>
      </x:c>
      <x:c r="M2" s="28" t="n">
        <x:v>1.38</x:v>
      </x:c>
      <x:c r="N2" s="22" t="str">
        <x:v>firm quote</x:v>
      </x:c>
      <x:c r="O2" s="22" t="str">
        <x:v>Leaves existing outlet culvert control in place</x:v>
      </x:c>
    </x:row>
    <x:row r="3">
      <x:c r="A3" s="22" t="str">
        <x:v>B</x:v>
      </x:c>
      <x:c r="B3" s="22" t="str">
        <x:v>Pipe upsize plus inlet-control retrofit</x:v>
      </x:c>
      <x:c r="C3" s="22" t="str">
        <x:v>Upsize MH-3 to outlet, install three new inlets, rebuild C-01 inlet throat and apron</x:v>
      </x:c>
      <x:c r="D3" s="22" t="str">
        <x:v>MH-3 to OUT-1</x:v>
      </x:c>
      <x:c r="E3" s="22" t="str">
        <x:v>inlet throat reconstruction</x:v>
      </x:c>
      <x:c r="F3" s="22" t="n">
        <x:v>3</x:v>
      </x:c>
      <x:c r="G3" s="22" t="str">
        <x:v>No</x:v>
      </x:c>
      <x:c r="H3" s="32" t="n">
        <x:v>354000</x:v>
      </x:c>
      <x:c r="I3" s="32" t="n">
        <x:v>6100</x:v>
      </x:c>
      <x:c r="J3" s="28" t="n">
        <x:v>8</x:v>
      </x:c>
      <x:c r="K3" s="28" t="n">
        <x:v>0.96</x:v>
      </x:c>
      <x:c r="L3" s="22" t="str">
        <x:v>passes with tailwater &lt;= 83.10 m</x:v>
      </x:c>
      <x:c r="M3" s="28" t="n">
        <x:v>1.12</x:v>
      </x:c>
      <x:c r="N3" s="22" t="str">
        <x:v>firm quote</x:v>
      </x:c>
      <x:c r="O3" s="22" t="str">
        <x:v>Requires CCTV confirmation of C-01 barrel before final PO</x:v>
      </x:c>
    </x:row>
    <x:row r="4">
      <x:c r="A4" s="22" t="str">
        <x:v>C</x:v>
      </x:c>
      <x:c r="B4" s="22" t="str">
        <x:v>West easement diversion swale</x:v>
      </x:c>
      <x:c r="C4" s="22" t="str">
        <x:v>Divert C-03 and C-05 to new swale through private Parcel 17</x:v>
      </x:c>
      <x:c r="D4" s="22" t="str">
        <x:v>limited work</x:v>
      </x:c>
      <x:c r="E4" s="22" t="str">
        <x:v>new swale outlet</x:v>
      </x:c>
      <x:c r="F4" s="22" t="n">
        <x:v>1</x:v>
      </x:c>
      <x:c r="G4" s="22" t="str">
        <x:v>Yes - not signed</x:v>
      </x:c>
      <x:c r="H4" s="32" t="n">
        <x:v>335000</x:v>
      </x:c>
      <x:c r="I4" s="32" t="n">
        <x:v>8400</x:v>
      </x:c>
      <x:c r="J4" s="28" t="n">
        <x:v>5</x:v>
      </x:c>
      <x:c r="K4" s="28" t="n">
        <x:v>1.05</x:v>
      </x:c>
      <x:c r="L4" s="22" t="str">
        <x:v>passes if easement route built</x:v>
      </x:c>
      <x:c r="M4" s="28" t="n">
        <x:v>0.95</x:v>
      </x:c>
      <x:c r="N4" s="22" t="str">
        <x:v>conditional quote</x:v>
      </x:c>
      <x:c r="O4" s="22" t="str">
        <x:v>No signed easement; private access letter is draft only</x:v>
      </x:c>
    </x:row>
    <x:row r="5">
      <x:c r="A5" s="22" t="str">
        <x:v>D</x:v>
      </x:c>
      <x:c r="B5" s="22" t="str">
        <x:v>Full replacement and modular detention</x:v>
      </x:c>
      <x:c r="C5" s="22" t="str">
        <x:v>Replace MH-2 to OUT-1 and add modular detention gallery in carriageway</x:v>
      </x:c>
      <x:c r="D5" s="22" t="str">
        <x:v>MH-2 to OUT-1</x:v>
      </x:c>
      <x:c r="E5" s="22" t="str">
        <x:v>box replacement</x:v>
      </x:c>
      <x:c r="F5" s="22" t="n">
        <x:v>4</x:v>
      </x:c>
      <x:c r="G5" s="22" t="str">
        <x:v>No</x:v>
      </x:c>
      <x:c r="H5" s="32" t="n">
        <x:v>420000</x:v>
      </x:c>
      <x:c r="I5" s="32" t="n">
        <x:v>4600</x:v>
      </x:c>
      <x:c r="J5" s="28" t="n">
        <x:v>14</x:v>
      </x:c>
      <x:c r="K5" s="28" t="n">
        <x:v>1.18</x:v>
      </x:c>
      <x:c r="L5" s="22" t="str">
        <x:v>passes</x:v>
      </x:c>
      <x:c r="M5" s="28" t="n">
        <x:v>0.88</x:v>
      </x:c>
      <x:c r="N5" s="22" t="str">
        <x:v>firm quote</x:v>
      </x:c>
      <x:c r="O5" s="22" t="str">
        <x:v>Exceeds capex and lane-closure constraints</x:v>
      </x:c>
    </x:row>
  </x:sheetData>
  <x:pageMargins left="0.7" right="0.7" top="0.75" bottom="0.75" header="0.3" footer="0.3"/>
  <x:tableParts count="1">
    <x:tablePart xmlns:r="http://schemas.openxmlformats.org/officeDocument/2006/relationships" r:id="Rc828d5fbea5f43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9.25" hidden="0" customWidth="1"/>
    <x:col min="3" max="3" width="13.75" hidden="0" customWidth="1"/>
    <x:col min="4" max="4" width="14.25" hidden="0" customWidth="1"/>
    <x:col min="5" max="5" width="11.630000114440918" hidden="0" customWidth="1"/>
    <x:col min="6" max="6" width="12.5" hidden="0" customWidth="1"/>
    <x:col min="7" max="7" width="15.880000114440918" hidden="0" customWidth="1"/>
    <x:col min="8" max="8" width="16.8799991607666" hidden="0" customWidth="1"/>
    <x:col min="9" max="9" width="8.25" hidden="0" customWidth="1"/>
  </x:cols>
  <x:sheetData>
    <x:row r="1">
      <x:c r="A1" s="14" t="str">
        <x:v>Option_ID</x:v>
      </x:c>
      <x:c r="B1" s="14" t="str">
        <x:v>Capex_GBP</x:v>
      </x:c>
      <x:c r="C1" s="14" t="str">
        <x:v>Annual_OM_GBP</x:v>
      </x:c>
      <x:c r="D1" s="14" t="str">
        <x:v>Design_Life_years</x:v>
      </x:c>
      <x:c r="E1" s="14" t="str">
        <x:v>Discount_Rate</x:v>
      </x:c>
      <x:c r="F1" s="14" t="str">
        <x:v>PV_Factor_30yr</x:v>
      </x:c>
      <x:c r="G1" s="14" t="str">
        <x:v>PV_OM_GBP</x:v>
      </x:c>
      <x:c r="H1" s="14" t="str">
        <x:v>Thirty_Year_PV_GBP</x:v>
      </x:c>
      <x:c r="I1" s="14" t="str">
        <x:v>PV_Result</x:v>
      </x:c>
    </x:row>
    <x:row r="2">
      <x:c r="A2" s="22" t="str">
        <x:v>A</x:v>
      </x:c>
      <x:c r="B2" s="32" t="n">
        <x:v>288000</x:v>
      </x:c>
      <x:c r="C2" s="32" t="n">
        <x:v>5200</x:v>
      </x:c>
      <x:c r="D2" s="22" t="n">
        <x:v>30</x:v>
      </x:c>
      <x:c r="E2" s="23" t="n">
        <x:v>0.035</x:v>
      </x:c>
      <x:c r="F2" s="36" t="n">
        <x:f>(1-(1+E2)^-D2)/E2</x:f>
        <x:v>18.392045411362787</x:v>
      </x:c>
      <x:c r="G2" s="32" t="n">
        <x:f>C2*F2</x:f>
        <x:v>95638.63613908649</x:v>
      </x:c>
      <x:c r="H2" s="32" t="n">
        <x:f>B2+G2</x:f>
        <x:v>383638.6361390865</x:v>
      </x:c>
      <x:c r="I2" s="22" t="str">
        <x:f>IF(H2&lt;=620000,"PASS","FAIL")</x:f>
        <x:v>PASS</x:v>
      </x:c>
    </x:row>
    <x:row r="3">
      <x:c r="A3" s="22" t="str">
        <x:v>B</x:v>
      </x:c>
      <x:c r="B3" s="32" t="n">
        <x:v>354000</x:v>
      </x:c>
      <x:c r="C3" s="32" t="n">
        <x:v>6100</x:v>
      </x:c>
      <x:c r="D3" s="22" t="n">
        <x:v>30</x:v>
      </x:c>
      <x:c r="E3" s="23" t="n">
        <x:v>0.035</x:v>
      </x:c>
      <x:c r="F3" s="36" t="n">
        <x:f>(1-(1+E3)^-D3)/E3</x:f>
        <x:v>18.392045411362787</x:v>
      </x:c>
      <x:c r="G3" s="32" t="n">
        <x:f>C3*F3</x:f>
        <x:v>112191.477009313</x:v>
      </x:c>
      <x:c r="H3" s="32" t="n">
        <x:f>B3+G3</x:f>
        <x:v>466191.477009313</x:v>
      </x:c>
      <x:c r="I3" s="22" t="str">
        <x:f>IF(H3&lt;=620000,"PASS","FAIL")</x:f>
        <x:v>PASS</x:v>
      </x:c>
    </x:row>
    <x:row r="4">
      <x:c r="A4" s="22" t="str">
        <x:v>C</x:v>
      </x:c>
      <x:c r="B4" s="32" t="n">
        <x:v>335000</x:v>
      </x:c>
      <x:c r="C4" s="32" t="n">
        <x:v>8400</x:v>
      </x:c>
      <x:c r="D4" s="22" t="n">
        <x:v>30</x:v>
      </x:c>
      <x:c r="E4" s="23" t="n">
        <x:v>0.035</x:v>
      </x:c>
      <x:c r="F4" s="36" t="n">
        <x:f>(1-(1+E4)^-D4)/E4</x:f>
        <x:v>18.392045411362787</x:v>
      </x:c>
      <x:c r="G4" s="32" t="n">
        <x:f>C4*F4</x:f>
        <x:v>154493.1814554474</x:v>
      </x:c>
      <x:c r="H4" s="32" t="n">
        <x:f>B4+G4</x:f>
        <x:v>489493.1814554474</x:v>
      </x:c>
      <x:c r="I4" s="22" t="str">
        <x:f>IF(H4&lt;=620000,"PASS","FAIL")</x:f>
        <x:v>PASS</x:v>
      </x:c>
    </x:row>
    <x:row r="5">
      <x:c r="A5" s="22" t="str">
        <x:v>D</x:v>
      </x:c>
      <x:c r="B5" s="32" t="n">
        <x:v>420000</x:v>
      </x:c>
      <x:c r="C5" s="32" t="n">
        <x:v>4600</x:v>
      </x:c>
      <x:c r="D5" s="22" t="n">
        <x:v>30</x:v>
      </x:c>
      <x:c r="E5" s="23" t="n">
        <x:v>0.035</x:v>
      </x:c>
      <x:c r="F5" s="36" t="n">
        <x:f>(1-(1+E5)^-D5)/E5</x:f>
        <x:v>18.392045411362787</x:v>
      </x:c>
      <x:c r="G5" s="32" t="n">
        <x:f>C5*F5</x:f>
        <x:v>84603.40889226882</x:v>
      </x:c>
      <x:c r="H5" s="32" t="n">
        <x:f>B5+G5</x:f>
        <x:v>504603.40889226884</x:v>
      </x:c>
      <x:c r="I5" s="22" t="str">
        <x:f>IF(H5&lt;=620000,"PASS","FAIL")</x:f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cdfada8e5c914d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9.75" hidden="0" customWidth="1"/>
    <x:col min="3" max="3" width="90" hidden="0" customWidth="1"/>
    <x:col min="4" max="4" width="28.3799991607666" hidden="0" customWidth="1"/>
    <x:col min="5" max="5" width="9.130000114440918" hidden="0" customWidth="1"/>
    <x:col min="6" max="6" width="61.25" hidden="0" customWidth="1"/>
  </x:cols>
  <x:sheetData>
    <x:row r="1">
      <x:c r="A1" s="14" t="str">
        <x:v>Decision_ID</x:v>
      </x:c>
      <x:c r="B1" s="14" t="str">
        <x:v>Topic</x:v>
      </x:c>
      <x:c r="C1" s="14" t="str">
        <x:v>Decision</x:v>
      </x:c>
      <x:c r="D1" s="14" t="str">
        <x:v>Authority</x:v>
      </x:c>
      <x:c r="E1" s="14" t="str">
        <x:v>Date</x:v>
      </x:c>
      <x:c r="F1" s="14" t="str">
        <x:v>Effect_on_Model</x:v>
      </x:c>
    </x:row>
    <x:row r="2">
      <x:c r="A2" s="22" t="str">
        <x:v>DEC-01</x:v>
      </x:c>
      <x:c r="B2" s="22" t="str">
        <x:v>Budget ceiling</x:v>
      </x:c>
      <x:c r="C2" s="22" t="str">
        <x:v>Capex ceiling fixed at GBP 370000; do not use Rev E GBP 400000 working allowance</x:v>
      </x:c>
      <x:c r="D2" s="22" t="str">
        <x:v>Programme board PB-2026-05-21</x:v>
      </x:c>
      <x:c r="E2" s="40" t="n">
        <x:v>46163</x:v>
      </x:c>
      <x:c r="F2" s="22" t="str">
        <x:v>Option D fails capex despite hydraulic adequacy</x:v>
      </x:c>
    </x:row>
    <x:row r="3">
      <x:c r="A3" s="22" t="str">
        <x:v>DEC-02</x:v>
      </x:c>
      <x:c r="B3" s="22" t="str">
        <x:v>Easement availability</x:v>
      </x:c>
      <x:c r="C3" s="22" t="str">
        <x:v>Only signed easements count for 60% design; draft owner letters are not approvals</x:v>
      </x:c>
      <x:c r="D3" s="22" t="str">
        <x:v>Council legal directive CLD-2026-11</x:v>
      </x:c>
      <x:c r="E3" s="40" t="n">
        <x:v>46160</x:v>
      </x:c>
      <x:c r="F3" s="22" t="str">
        <x:v>Option C cannot be recommended unless Parcel 17 easement is signed</x:v>
      </x:c>
    </x:row>
    <x:row r="4">
      <x:c r="A4" s="22" t="str">
        <x:v>DEC-03</x:v>
      </x:c>
      <x:c r="B4" s="22" t="str">
        <x:v>Tailwater basis</x:v>
      </x:c>
      <x:c r="C4" s="22" t="str">
        <x:v>Use observed outlet high-water mark of 83.05 m as provisional tailwater; require survey confirmation before final design</x:v>
      </x:c>
      <x:c r="D4" s="22" t="str">
        <x:v>Drainage reviewer note DRN-2026-09</x:v>
      </x:c>
      <x:c r="E4" s="40" t="n">
        <x:v>46161</x:v>
      </x:c>
      <x:c r="F4" s="22" t="str">
        <x:v>Option B may be recommended only conditionally pending tailwater confirmation</x:v>
      </x:c>
    </x:row>
    <x:row r="5">
      <x:c r="A5" s="22" t="str">
        <x:v>DEC-04</x:v>
      </x:c>
      <x:c r="B5" s="22" t="str">
        <x:v>Minimum output package</x:v>
      </x:c>
      <x:c r="C5" s="22" t="str">
        <x:v>Recommendation must include workbook, memo, open item register and HGL/culvert profile PDF</x:v>
      </x:c>
      <x:c r="D5" s="22" t="str">
        <x:v>Civil design QA checklist QA-CIV-60</x:v>
      </x:c>
      <x:c r="E5" s="40" t="n">
        <x:v>46165</x:v>
      </x:c>
      <x:c r="F5" s="22" t="str">
        <x:v>Output package must have at least four files</x:v>
      </x:c>
    </x:row>
  </x:sheetData>
  <x:pageMargins left="0.7" right="0.7" top="0.75" bottom="0.75" header="0.3" footer="0.3"/>
  <x:tableParts count="1">
    <x:tablePart xmlns:r="http://schemas.openxmlformats.org/officeDocument/2006/relationships" r:id="R2c52cc3b694541d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80.12999725341797" hidden="0" customWidth="1"/>
    <x:col min="3" max="3" width="36.5" hidden="0" customWidth="1"/>
    <x:col min="4" max="4" width="20.6299991607666" hidden="0" customWidth="1"/>
    <x:col min="5" max="5" width="41.25" hidden="0" customWidth="1"/>
    <x:col min="6" max="6" width="5.25" hidden="0" customWidth="1"/>
    <x:col min="7" max="7" width="18.1299991607666" hidden="0" customWidth="1"/>
    <x:col min="8" max="8" width="50.75" hidden="0" customWidth="1"/>
  </x:cols>
  <x:sheetData>
    <x:row r="1">
      <x:c r="A1" s="14" t="str">
        <x:v>Open_Item_ID</x:v>
      </x:c>
      <x:c r="B1" s="14" t="str">
        <x:v>Unresolved_Fact</x:v>
      </x:c>
      <x:c r="C1" s="14" t="str">
        <x:v>Affected_Decision</x:v>
      </x:c>
      <x:c r="D1" s="14" t="str">
        <x:v>Owner</x:v>
      </x:c>
      <x:c r="E1" s="14" t="str">
        <x:v>Decision_Gate</x:v>
      </x:c>
      <x:c r="F1" s="14" t="str">
        <x:v>Status</x:v>
      </x:c>
      <x:c r="G1" s="14" t="str">
        <x:v>Blocking_60pct_Design</x:v>
      </x:c>
      <x:c r="H1" s="14" t="str">
        <x:v>Required_Closeout_Evidence</x:v>
      </x:c>
    </x:row>
    <x:row r="2">
      <x:c r="A2" s="22" t="str">
        <x:v>OI-01</x:v>
      </x:c>
      <x:c r="B2" s="22" t="str">
        <x:v>C-01 barrel condition and actual internal obstruction are unknown because outlet was partially submerged.</x:v>
      </x:c>
      <x:c r="C2" s="22" t="str">
        <x:v>Culvert capacity and constructability of Option B</x:v>
      </x:c>
      <x:c r="D2" s="22" t="str">
        <x:v>Stormwater asset manager</x:v>
      </x:c>
      <x:c r="E2" s="22" t="str">
        <x:v>Before purchase-order release</x:v>
      </x:c>
      <x:c r="F2" s="22" t="str">
        <x:v>Open</x:v>
      </x:c>
      <x:c r="G2" s="22" t="str">
        <x:v>No</x:v>
      </x:c>
      <x:c r="H2" s="22" t="str">
        <x:v>CCTV inspection report or confined-space inspection log</x:v>
      </x:c>
    </x:row>
    <x:row r="3">
      <x:c r="A3" s="22" t="str">
        <x:v>OI-02</x:v>
      </x:c>
      <x:c r="B3" s="22" t="str">
        <x:v>Tailwater design elevation is based on field high-water mark, not a surveyed hydraulic model boundary.</x:v>
      </x:c>
      <x:c r="C3" s="22" t="str">
        <x:v>Culvert HW/D and HGL at MH-5</x:v>
      </x:c>
      <x:c r="D3" s="22" t="str">
        <x:v>Hydrology reviewer</x:v>
      </x:c>
      <x:c r="E3" s="22" t="str">
        <x:v>Before 90% design</x:v>
      </x:c>
      <x:c r="F3" s="22" t="str">
        <x:v>Open</x:v>
      </x:c>
      <x:c r="G3" s="22" t="str">
        <x:v>No</x:v>
      </x:c>
      <x:c r="H3" s="22" t="str">
        <x:v>Surveyed tailwater mark and receiving-channel normal-depth check</x:v>
      </x:c>
    </x:row>
    <x:row r="4">
      <x:c r="A4" s="22" t="str">
        <x:v>OI-03</x:v>
      </x:c>
      <x:c r="B4" s="22" t="str">
        <x:v>Parcel 17 private drainage easement is not signed.</x:v>
      </x:c>
      <x:c r="C4" s="22" t="str">
        <x:v>Option C legal feasibility</x:v>
      </x:c>
      <x:c r="D4" s="22" t="str">
        <x:v>Council legal officer</x:v>
      </x:c>
      <x:c r="E4" s="22" t="str">
        <x:v>Before 60% design advancement if Option C is selected</x:v>
      </x:c>
      <x:c r="F4" s="22" t="str">
        <x:v>Open</x:v>
      </x:c>
      <x:c r="G4" s="22" t="str">
        <x:v>Yes for Option C</x:v>
      </x:c>
      <x:c r="H4" s="22" t="str">
        <x:v>Signed and recorded easement</x:v>
      </x:c>
    </x:row>
    <x:row r="5">
      <x:c r="A5" s="22" t="str">
        <x:v>OI-04</x:v>
      </x:c>
      <x:c r="B5" s="22" t="str">
        <x:v>Utility potholing for MH-3 to MH-4 replacement corridor is incomplete.</x:v>
      </x:c>
      <x:c r="C5" s="22" t="str">
        <x:v>Options A, B and D constructability</x:v>
      </x:c>
      <x:c r="D5" s="22" t="str">
        <x:v>Utilities coordinator</x:v>
      </x:c>
      <x:c r="E5" s="22" t="str">
        <x:v>Before final design</x:v>
      </x:c>
      <x:c r="F5" s="22" t="str">
        <x:v>Open</x:v>
      </x:c>
      <x:c r="G5" s="22" t="str">
        <x:v>No</x:v>
      </x:c>
      <x:c r="H5" s="22" t="str">
        <x:v>Potholing report with conflict clearances</x:v>
      </x:c>
    </x:row>
    <x:row r="6">
      <x:c r="A6" s="22" t="str">
        <x:v>OI-05</x:v>
      </x:c>
      <x:c r="B6" s="22" t="str">
        <x:v>Sediment depth in MH-4 benching has not been measured after the 14 May event.</x:v>
      </x:c>
      <x:c r="C6" s="22" t="str">
        <x:v>Existing capacity and cleaning allowance</x:v>
      </x:c>
      <x:c r="D6" s="22" t="str">
        <x:v>Maintenance supervisor</x:v>
      </x:c>
      <x:c r="E6" s="22" t="str">
        <x:v>Before procurement</x:v>
      </x:c>
      <x:c r="F6" s="22" t="str">
        <x:v>Open</x:v>
      </x:c>
      <x:c r="G6" s="22" t="str">
        <x:v>No</x:v>
      </x:c>
      <x:c r="H6" s="22" t="str">
        <x:v>Post-cleaning inspection sheet</x:v>
      </x:c>
    </x:row>
    <x:row r="7">
      <x:c r="A7" s="22" t="str">
        <x:v>OI-06</x:v>
      </x:c>
      <x:c r="B7" s="22" t="str">
        <x:v>Traffic staging plan for Option D exceeds preliminary closure allowance and lacks operations approval.</x:v>
      </x:c>
      <x:c r="C7" s="22" t="str">
        <x:v>Option D feasibility</x:v>
      </x:c>
      <x:c r="D7" s="22" t="str">
        <x:v>Traffic operations lead</x:v>
      </x:c>
      <x:c r="E7" s="22" t="str">
        <x:v>Before 60% design if Option D is selected</x:v>
      </x:c>
      <x:c r="F7" s="22" t="str">
        <x:v>Open</x:v>
      </x:c>
      <x:c r="G7" s="22" t="str">
        <x:v>Yes for Option D</x:v>
      </x:c>
      <x:c r="H7" s="22" t="str">
        <x:v>Approved traffic-management exception or revised staging plan</x:v>
      </x:c>
    </x:row>
  </x:sheetData>
  <x:pageMargins left="0.7" right="0.7" top="0.75" bottom="0.75" header="0.3" footer="0.3"/>
  <x:tableParts count="1">
    <x:tablePart xmlns:r="http://schemas.openxmlformats.org/officeDocument/2006/relationships" r:id="Rd508008dd720410f"/>
  </x:tableParts>
</x:worksheet>
</file>